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richasny/"/>
    </mc:Choice>
  </mc:AlternateContent>
  <xr:revisionPtr revIDLastSave="0" documentId="8_{364E6937-D79B-E14A-A68D-82EB44DE7A41}" xr6:coauthVersionLast="47" xr6:coauthVersionMax="47" xr10:uidLastSave="{00000000-0000-0000-0000-000000000000}"/>
  <bookViews>
    <workbookView xWindow="0" yWindow="680" windowWidth="34200" windowHeight="19900" xr2:uid="{00000000-000D-0000-FFFF-FFFF00000000}"/>
  </bookViews>
  <sheets>
    <sheet name="Fret Calculator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B30" i="1"/>
  <c r="C30" i="1" s="1"/>
  <c r="B29" i="1"/>
  <c r="B28" i="1"/>
  <c r="C28" i="1" s="1"/>
  <c r="B27" i="1"/>
  <c r="C27" i="1" s="1"/>
  <c r="B26" i="1"/>
  <c r="B25" i="1"/>
  <c r="B24" i="1"/>
  <c r="B23" i="1"/>
  <c r="C23" i="1" s="1"/>
  <c r="B22" i="1"/>
  <c r="C22" i="1" s="1"/>
  <c r="B21" i="1"/>
  <c r="B20" i="1"/>
  <c r="B19" i="1"/>
  <c r="B18" i="1"/>
  <c r="F17" i="1"/>
  <c r="B17" i="1"/>
  <c r="C17" i="1" s="1"/>
  <c r="B16" i="1"/>
  <c r="C16" i="1" s="1"/>
  <c r="B15" i="1"/>
  <c r="B14" i="1"/>
  <c r="C14" i="1" s="1"/>
  <c r="B13" i="1"/>
  <c r="B12" i="1"/>
  <c r="C13" i="1" s="1"/>
  <c r="B11" i="1"/>
  <c r="F10" i="1"/>
  <c r="B10" i="1"/>
  <c r="B9" i="1"/>
  <c r="C9" i="1" s="1"/>
  <c r="B8" i="1"/>
  <c r="C8" i="1" s="1"/>
  <c r="C25" i="1" l="1"/>
  <c r="C26" i="1"/>
  <c r="C19" i="1"/>
  <c r="C20" i="1"/>
  <c r="C21" i="1"/>
  <c r="C29" i="1"/>
  <c r="C24" i="1"/>
  <c r="F9" i="1"/>
  <c r="C18" i="1"/>
  <c r="C15" i="1"/>
  <c r="C10" i="1"/>
  <c r="F16" i="1"/>
  <c r="F8" i="1"/>
  <c r="F15" i="1"/>
  <c r="C31" i="1"/>
  <c r="C11" i="1"/>
  <c r="F14" i="1"/>
  <c r="F12" i="1"/>
  <c r="F11" i="1"/>
  <c r="C12" i="1"/>
  <c r="F13" i="1"/>
</calcChain>
</file>

<file path=xl/sharedStrings.xml><?xml version="1.0" encoding="utf-8"?>
<sst xmlns="http://schemas.openxmlformats.org/spreadsheetml/2006/main" count="12" uniqueCount="12">
  <si>
    <t>Guitar Fret Calculator</t>
  </si>
  <si>
    <t>Scale Length (inches):</t>
  </si>
  <si>
    <t>&lt;-- Enter scale length here</t>
  </si>
  <si>
    <t>Formula: Distance = ROUND(Scale x (1 - 1/2^(n/12)), 3)</t>
  </si>
  <si>
    <t>Fret</t>
  </si>
  <si>
    <t>Distance from Nut (in)</t>
  </si>
  <si>
    <t>Fret Spacing (in)</t>
  </si>
  <si>
    <t>Position</t>
  </si>
  <si>
    <t>Marker Center (in)</t>
  </si>
  <si>
    <t>Notes</t>
  </si>
  <si>
    <t>Double dot (octave)</t>
  </si>
  <si>
    <t>End of fretboard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</si>
</sst>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color rgb="FF2E4057"/>
      <name val="Calibri"/>
      <family val="2"/>
    </font>
    <font>
      <b/>
      <sz val="11"/>
      <name val="Calibri"/>
      <family val="2"/>
    </font>
    <font>
      <b/>
      <sz val="13"/>
      <color rgb="FF1A5276"/>
      <name val="Calibri"/>
      <family val="2"/>
    </font>
    <font>
      <i/>
      <sz val="10"/>
      <color rgb="FF888888"/>
      <name val="Calibri"/>
      <family val="2"/>
    </font>
    <font>
      <i/>
      <sz val="9"/>
      <color rgb="FF666666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1"/>
      <color rgb="FF8B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8F4FD"/>
        <bgColor rgb="FFE8F4FD"/>
      </patternFill>
    </fill>
    <fill>
      <patternFill patternType="solid">
        <fgColor rgb="FF2E4057"/>
        <bgColor rgb="FF2E4057"/>
      </patternFill>
    </fill>
    <fill>
      <patternFill patternType="solid">
        <fgColor rgb="FFFAFAFA"/>
        <bgColor rgb="FFFAFAFA"/>
      </patternFill>
    </fill>
    <fill>
      <patternFill patternType="solid">
        <fgColor rgb="FFF0F4F8"/>
        <bgColor rgb="FFF0F4F8"/>
      </patternFill>
    </fill>
    <fill>
      <patternFill patternType="solid">
        <fgColor rgb="FF1A5276"/>
        <bgColor rgb="FF1A5276"/>
      </patternFill>
    </fill>
    <fill>
      <patternFill patternType="solid">
        <fgColor rgb="FFFFF8E1"/>
        <bgColor rgb="FFFFF8E1"/>
      </patternFill>
    </fill>
  </fills>
  <borders count="3">
    <border>
      <left/>
      <right/>
      <top/>
      <bottom/>
      <diagonal/>
    </border>
    <border>
      <left style="medium">
        <color rgb="FF1A5276"/>
      </left>
      <right style="medium">
        <color rgb="FF1A5276"/>
      </right>
      <top style="medium">
        <color rgb="FF1A5276"/>
      </top>
      <bottom style="medium">
        <color rgb="FF1A527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5" fillId="0" borderId="0" xfId="0" applyFont="1"/>
    <xf numFmtId="0" fontId="6" fillId="3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abSelected="1" workbookViewId="0">
      <pane ySplit="7" topLeftCell="A8" activePane="bottomLeft" state="frozen"/>
      <selection pane="bottomLeft" activeCell="B4" sqref="B4"/>
    </sheetView>
  </sheetViews>
  <sheetFormatPr baseColWidth="10" defaultColWidth="8.83203125" defaultRowHeight="15" x14ac:dyDescent="0.2"/>
  <cols>
    <col min="1" max="3" width="22" customWidth="1"/>
    <col min="4" max="4" width="3" customWidth="1"/>
    <col min="5" max="5" width="12" customWidth="1"/>
    <col min="6" max="7" width="22" customWidth="1"/>
  </cols>
  <sheetData>
    <row r="1" spans="1:7" ht="28" customHeight="1" x14ac:dyDescent="0.2">
      <c r="A1" s="14" t="s">
        <v>0</v>
      </c>
      <c r="B1" s="15"/>
      <c r="C1" s="15"/>
    </row>
    <row r="3" spans="1:7" ht="17" x14ac:dyDescent="0.2">
      <c r="A3" s="1" t="s">
        <v>1</v>
      </c>
      <c r="B3" s="2">
        <v>36.25</v>
      </c>
      <c r="C3" s="3" t="s">
        <v>2</v>
      </c>
    </row>
    <row r="4" spans="1:7" x14ac:dyDescent="0.2">
      <c r="A4" s="4" t="s">
        <v>3</v>
      </c>
    </row>
    <row r="7" spans="1:7" ht="20" customHeight="1" x14ac:dyDescent="0.2">
      <c r="A7" s="5" t="s">
        <v>4</v>
      </c>
      <c r="B7" s="5" t="s">
        <v>5</v>
      </c>
      <c r="C7" s="5" t="s">
        <v>6</v>
      </c>
      <c r="E7" s="6" t="s">
        <v>7</v>
      </c>
      <c r="F7" s="6" t="s">
        <v>8</v>
      </c>
      <c r="G7" s="6" t="s">
        <v>9</v>
      </c>
    </row>
    <row r="8" spans="1:7" ht="18" customHeight="1" x14ac:dyDescent="0.2">
      <c r="A8" s="7">
        <v>1</v>
      </c>
      <c r="B8" s="8">
        <f>ROUND($B$3*(1-1/2^(1/12)),3)</f>
        <v>2.0350000000000001</v>
      </c>
      <c r="C8" s="8">
        <f>ROUND(B8,3)</f>
        <v>2.0350000000000001</v>
      </c>
      <c r="E8" s="9">
        <v>3</v>
      </c>
      <c r="F8" s="10">
        <f>ROUND((B9+B10)/2,3)</f>
        <v>4.8620000000000001</v>
      </c>
      <c r="G8" s="10"/>
    </row>
    <row r="9" spans="1:7" ht="18" customHeight="1" x14ac:dyDescent="0.2">
      <c r="A9" s="11">
        <v>2</v>
      </c>
      <c r="B9" s="12">
        <f>ROUND($B$3*(1-1/2^(2/12)),3)</f>
        <v>3.9550000000000001</v>
      </c>
      <c r="C9" s="12">
        <f t="shared" ref="C9:C31" si="0">ROUND(B9-B8,3)</f>
        <v>1.92</v>
      </c>
      <c r="E9" s="9">
        <v>5</v>
      </c>
      <c r="F9" s="10">
        <f>ROUND((B11+B12)/2,3)</f>
        <v>8.2859999999999996</v>
      </c>
      <c r="G9" s="10"/>
    </row>
    <row r="10" spans="1:7" ht="18" customHeight="1" x14ac:dyDescent="0.2">
      <c r="A10" s="7">
        <v>3</v>
      </c>
      <c r="B10" s="8">
        <f>ROUND($B$3*(1-1/2^(3/12)),3)</f>
        <v>5.7679999999999998</v>
      </c>
      <c r="C10" s="8">
        <f t="shared" si="0"/>
        <v>1.8129999999999999</v>
      </c>
      <c r="E10" s="9">
        <v>7</v>
      </c>
      <c r="F10" s="10">
        <f>ROUND((B13+B14)/2,3)</f>
        <v>11.337</v>
      </c>
      <c r="G10" s="10"/>
    </row>
    <row r="11" spans="1:7" ht="18" customHeight="1" x14ac:dyDescent="0.2">
      <c r="A11" s="11">
        <v>4</v>
      </c>
      <c r="B11" s="12">
        <f>ROUND($B$3*(1-1/2^(4/12)),3)</f>
        <v>7.4779999999999998</v>
      </c>
      <c r="C11" s="12">
        <f t="shared" si="0"/>
        <v>1.71</v>
      </c>
      <c r="E11" s="9">
        <v>9</v>
      </c>
      <c r="F11" s="10">
        <f>ROUND((B15+B16)/2,3)</f>
        <v>14.055</v>
      </c>
      <c r="G11" s="10"/>
    </row>
    <row r="12" spans="1:7" ht="18" customHeight="1" x14ac:dyDescent="0.2">
      <c r="A12" s="7">
        <v>5</v>
      </c>
      <c r="B12" s="8">
        <f>ROUND($B$3*(1-1/2^(5/12)),3)</f>
        <v>9.093</v>
      </c>
      <c r="C12" s="8">
        <f t="shared" si="0"/>
        <v>1.615</v>
      </c>
      <c r="E12" s="9">
        <v>12</v>
      </c>
      <c r="F12" s="10">
        <f>ROUND((B18+B19)/2,3)</f>
        <v>17.585999999999999</v>
      </c>
      <c r="G12" s="13" t="s">
        <v>10</v>
      </c>
    </row>
    <row r="13" spans="1:7" ht="18" customHeight="1" x14ac:dyDescent="0.2">
      <c r="A13" s="11">
        <v>6</v>
      </c>
      <c r="B13" s="12">
        <f>ROUND($B$3*(1-1/2^(6/12)),3)</f>
        <v>10.617000000000001</v>
      </c>
      <c r="C13" s="12">
        <f t="shared" si="0"/>
        <v>1.524</v>
      </c>
      <c r="E13" s="9">
        <v>15</v>
      </c>
      <c r="F13" s="10">
        <f>ROUND((B21+B22)/2,3)</f>
        <v>20.556000000000001</v>
      </c>
      <c r="G13" s="10"/>
    </row>
    <row r="14" spans="1:7" ht="18" customHeight="1" x14ac:dyDescent="0.2">
      <c r="A14" s="7">
        <v>7</v>
      </c>
      <c r="B14" s="8">
        <f>ROUND($B$3*(1-1/2^(7/12)),3)</f>
        <v>12.055999999999999</v>
      </c>
      <c r="C14" s="8">
        <f t="shared" si="0"/>
        <v>1.4390000000000001</v>
      </c>
      <c r="E14" s="9">
        <v>17</v>
      </c>
      <c r="F14" s="10">
        <f>ROUND((B23+B24)/2,3)</f>
        <v>22.268000000000001</v>
      </c>
      <c r="G14" s="10"/>
    </row>
    <row r="15" spans="1:7" ht="18" customHeight="1" x14ac:dyDescent="0.2">
      <c r="A15" s="11">
        <v>8</v>
      </c>
      <c r="B15" s="12">
        <f>ROUND($B$3*(1-1/2^(8/12)),3)</f>
        <v>13.414</v>
      </c>
      <c r="C15" s="12">
        <f t="shared" si="0"/>
        <v>1.3580000000000001</v>
      </c>
      <c r="E15" s="9">
        <v>19</v>
      </c>
      <c r="F15" s="10">
        <f>ROUND((B25+B26)/2,3)</f>
        <v>23.794</v>
      </c>
      <c r="G15" s="10"/>
    </row>
    <row r="16" spans="1:7" ht="18" customHeight="1" x14ac:dyDescent="0.2">
      <c r="A16" s="7">
        <v>9</v>
      </c>
      <c r="B16" s="8">
        <f>ROUND($B$3*(1-1/2^(9/12)),3)</f>
        <v>14.696</v>
      </c>
      <c r="C16" s="8">
        <f t="shared" si="0"/>
        <v>1.282</v>
      </c>
      <c r="E16" s="9">
        <v>21</v>
      </c>
      <c r="F16" s="10">
        <f>ROUND((B27+B28)/2,3)</f>
        <v>25.152999999999999</v>
      </c>
      <c r="G16" s="10"/>
    </row>
    <row r="17" spans="1:7" ht="18" customHeight="1" x14ac:dyDescent="0.2">
      <c r="A17" s="11">
        <v>10</v>
      </c>
      <c r="B17" s="12">
        <f>ROUND($B$3*(1-1/2^(10/12)),3)</f>
        <v>15.904999999999999</v>
      </c>
      <c r="C17" s="12">
        <f t="shared" si="0"/>
        <v>1.2090000000000001</v>
      </c>
      <c r="E17" s="9">
        <v>24</v>
      </c>
      <c r="F17" s="10">
        <f>ROUND((B30+B31)/2,3)</f>
        <v>26.919</v>
      </c>
      <c r="G17" s="13" t="s">
        <v>11</v>
      </c>
    </row>
    <row r="18" spans="1:7" ht="18" customHeight="1" x14ac:dyDescent="0.2">
      <c r="A18" s="7">
        <v>11</v>
      </c>
      <c r="B18" s="8">
        <f>ROUND($B$3*(1-1/2^(11/12)),3)</f>
        <v>17.047000000000001</v>
      </c>
      <c r="C18" s="8">
        <f t="shared" si="0"/>
        <v>1.1419999999999999</v>
      </c>
    </row>
    <row r="19" spans="1:7" ht="18" customHeight="1" x14ac:dyDescent="0.2">
      <c r="A19" s="11">
        <v>12</v>
      </c>
      <c r="B19" s="12">
        <f>ROUND($B$3*(1-1/2^(12/12)),3)</f>
        <v>18.125</v>
      </c>
      <c r="C19" s="12">
        <f t="shared" si="0"/>
        <v>1.0780000000000001</v>
      </c>
    </row>
    <row r="20" spans="1:7" ht="18" customHeight="1" x14ac:dyDescent="0.2">
      <c r="A20" s="7">
        <v>13</v>
      </c>
      <c r="B20" s="8">
        <f>ROUND($B$3*(1-1/2^(13/12)),3)</f>
        <v>19.141999999999999</v>
      </c>
      <c r="C20" s="8">
        <f t="shared" si="0"/>
        <v>1.0169999999999999</v>
      </c>
    </row>
    <row r="21" spans="1:7" ht="18" customHeight="1" x14ac:dyDescent="0.2">
      <c r="A21" s="11">
        <v>14</v>
      </c>
      <c r="B21" s="12">
        <f>ROUND($B$3*(1-1/2^(14/12)),3)</f>
        <v>20.102</v>
      </c>
      <c r="C21" s="12">
        <f t="shared" si="0"/>
        <v>0.96</v>
      </c>
    </row>
    <row r="22" spans="1:7" ht="18" customHeight="1" x14ac:dyDescent="0.2">
      <c r="A22" s="7">
        <v>15</v>
      </c>
      <c r="B22" s="8">
        <f>ROUND($B$3*(1-1/2^(15/12)),3)</f>
        <v>21.009</v>
      </c>
      <c r="C22" s="8">
        <f t="shared" si="0"/>
        <v>0.90700000000000003</v>
      </c>
    </row>
    <row r="23" spans="1:7" ht="18" customHeight="1" x14ac:dyDescent="0.2">
      <c r="A23" s="11">
        <v>16</v>
      </c>
      <c r="B23" s="12">
        <f>ROUND($B$3*(1-1/2^(16/12)),3)</f>
        <v>21.864000000000001</v>
      </c>
      <c r="C23" s="12">
        <f t="shared" si="0"/>
        <v>0.85499999999999998</v>
      </c>
    </row>
    <row r="24" spans="1:7" ht="18" customHeight="1" x14ac:dyDescent="0.2">
      <c r="A24" s="7">
        <v>17</v>
      </c>
      <c r="B24" s="8">
        <f>ROUND($B$3*(1-1/2^(17/12)),3)</f>
        <v>22.672000000000001</v>
      </c>
      <c r="C24" s="8">
        <f t="shared" si="0"/>
        <v>0.80800000000000005</v>
      </c>
    </row>
    <row r="25" spans="1:7" ht="18" customHeight="1" x14ac:dyDescent="0.2">
      <c r="A25" s="11">
        <v>18</v>
      </c>
      <c r="B25" s="12">
        <f>ROUND($B$3*(1-1/2^(18/12)),3)</f>
        <v>23.434000000000001</v>
      </c>
      <c r="C25" s="12">
        <f t="shared" si="0"/>
        <v>0.76200000000000001</v>
      </c>
    </row>
    <row r="26" spans="1:7" ht="18" customHeight="1" x14ac:dyDescent="0.2">
      <c r="A26" s="7">
        <v>19</v>
      </c>
      <c r="B26" s="8">
        <f>ROUND($B$3*(1-1/2^(19/12)),3)</f>
        <v>24.152999999999999</v>
      </c>
      <c r="C26" s="8">
        <f t="shared" si="0"/>
        <v>0.71899999999999997</v>
      </c>
    </row>
    <row r="27" spans="1:7" ht="18" customHeight="1" x14ac:dyDescent="0.2">
      <c r="A27" s="11">
        <v>20</v>
      </c>
      <c r="B27" s="12">
        <f>ROUND($B$3*(1-1/2^(20/12)),3)</f>
        <v>24.832000000000001</v>
      </c>
      <c r="C27" s="12">
        <f t="shared" si="0"/>
        <v>0.67900000000000005</v>
      </c>
    </row>
    <row r="28" spans="1:7" ht="18" customHeight="1" x14ac:dyDescent="0.2">
      <c r="A28" s="7">
        <v>21</v>
      </c>
      <c r="B28" s="8">
        <f>ROUND($B$3*(1-1/2^(21/12)),3)</f>
        <v>25.472999999999999</v>
      </c>
      <c r="C28" s="8">
        <f t="shared" si="0"/>
        <v>0.64100000000000001</v>
      </c>
    </row>
    <row r="29" spans="1:7" ht="18" customHeight="1" x14ac:dyDescent="0.2">
      <c r="A29" s="11">
        <v>22</v>
      </c>
      <c r="B29" s="12">
        <f>ROUND($B$3*(1-1/2^(22/12)),3)</f>
        <v>26.077999999999999</v>
      </c>
      <c r="C29" s="12">
        <f t="shared" si="0"/>
        <v>0.60499999999999998</v>
      </c>
    </row>
    <row r="30" spans="1:7" ht="18" customHeight="1" x14ac:dyDescent="0.2">
      <c r="A30" s="7">
        <v>23</v>
      </c>
      <c r="B30" s="8">
        <f>ROUND($B$3*(1-1/2^(23/12)),3)</f>
        <v>26.649000000000001</v>
      </c>
      <c r="C30" s="8">
        <f t="shared" si="0"/>
        <v>0.57099999999999995</v>
      </c>
    </row>
    <row r="31" spans="1:7" ht="18" customHeight="1" x14ac:dyDescent="0.2">
      <c r="A31" s="11">
        <v>24</v>
      </c>
      <c r="B31" s="12">
        <f>ROUND($B$3*(1-1/2^(24/12)),3)</f>
        <v>27.187999999999999</v>
      </c>
      <c r="C31" s="12">
        <f t="shared" si="0"/>
        <v>0.53900000000000003</v>
      </c>
    </row>
    <row r="32" spans="1:7" ht="18" customHeight="1" x14ac:dyDescent="0.2"/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Fret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Rich Snyder</cp:lastModifiedBy>
  <dcterms:created xsi:type="dcterms:W3CDTF">2026-04-04T23:59:13Z</dcterms:created>
  <dcterms:modified xsi:type="dcterms:W3CDTF">2026-04-05T16:11:26Z</dcterms:modified>
</cp:coreProperties>
</file>