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t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&quot;"/>
  </numFmts>
  <fonts count="9">
    <font>
      <name val="Calibri"/>
      <family val="2"/>
      <color theme="1"/>
      <sz val="11"/>
      <scheme val="minor"/>
    </font>
    <font>
      <b val="1"/>
      <color rgb="002E4057"/>
      <sz val="16"/>
    </font>
    <font>
      <b val="1"/>
      <sz val="11"/>
    </font>
    <font>
      <b val="1"/>
      <color rgb="001A5276"/>
      <sz val="13"/>
    </font>
    <font>
      <i val="1"/>
      <color rgb="00888888"/>
      <sz val="10"/>
    </font>
    <font>
      <i val="1"/>
      <color rgb="00666666"/>
      <sz val="9"/>
    </font>
    <font>
      <b val="1"/>
      <color rgb="00FFFFFF"/>
      <sz val="12"/>
    </font>
    <font>
      <b val="1"/>
    </font>
    <font>
      <b val="1"/>
      <color rgb="008B0000"/>
    </font>
  </fonts>
  <fills count="8">
    <fill>
      <patternFill/>
    </fill>
    <fill>
      <patternFill patternType="gray125"/>
    </fill>
    <fill>
      <patternFill patternType="solid">
        <fgColor rgb="00E8F4FD"/>
        <bgColor rgb="00E8F4FD"/>
      </patternFill>
    </fill>
    <fill>
      <patternFill patternType="solid">
        <fgColor rgb="002E4057"/>
        <bgColor rgb="002E4057"/>
      </patternFill>
    </fill>
    <fill>
      <patternFill patternType="solid">
        <fgColor rgb="00FAFAFA"/>
        <bgColor rgb="00FAFAFA"/>
      </patternFill>
    </fill>
    <fill>
      <patternFill patternType="solid">
        <fgColor rgb="00F0F4F8"/>
        <bgColor rgb="00F0F4F8"/>
      </patternFill>
    </fill>
    <fill>
      <patternFill patternType="solid">
        <fgColor rgb="001A5276"/>
        <bgColor rgb="001A5276"/>
      </patternFill>
    </fill>
    <fill>
      <patternFill patternType="solid">
        <fgColor rgb="00FFF8E1"/>
        <bgColor rgb="00FFF8E1"/>
      </patternFill>
    </fill>
  </fills>
  <borders count="3">
    <border>
      <left/>
      <right/>
      <top/>
      <bottom/>
      <diagonal/>
    </border>
    <border>
      <left style="medium">
        <color rgb="001A5276"/>
      </left>
      <right style="medium">
        <color rgb="001A5276"/>
      </right>
      <top style="medium">
        <color rgb="001A5276"/>
      </top>
      <bottom style="medium">
        <color rgb="001A5276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4" fontId="3" fillId="2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6" fillId="3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164" fontId="0" fillId="4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164" fontId="0" fillId="7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164" fontId="0" fillId="5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3" customWidth="1" min="4" max="4"/>
    <col width="12" customWidth="1" min="5" max="5"/>
    <col width="22" customWidth="1" min="6" max="6"/>
    <col width="22" customWidth="1" min="7" max="7"/>
  </cols>
  <sheetData>
    <row r="1" ht="28" customHeight="1">
      <c r="A1" s="1" t="inlineStr">
        <is>
          <t>Guitar Fret Calculator</t>
        </is>
      </c>
    </row>
    <row r="3">
      <c r="A3" s="2" t="inlineStr">
        <is>
          <t>Scale Length (inches):</t>
        </is>
      </c>
      <c r="B3" s="3" t="n">
        <v>25.5</v>
      </c>
      <c r="C3" s="4" t="inlineStr">
        <is>
          <t>&lt;-- Enter scale length here</t>
        </is>
      </c>
    </row>
    <row r="4">
      <c r="A4" s="5" t="inlineStr">
        <is>
          <t>Formula: Distance = ROUND(Scale x (1 - 1/2^(n/12)), 3)</t>
        </is>
      </c>
    </row>
    <row r="7" ht="20" customHeight="1">
      <c r="A7" s="6" t="inlineStr">
        <is>
          <t>Fret</t>
        </is>
      </c>
      <c r="B7" s="6" t="inlineStr">
        <is>
          <t>Distance from Nut (in)</t>
        </is>
      </c>
      <c r="C7" s="6" t="inlineStr">
        <is>
          <t>Fret Spacing (in)</t>
        </is>
      </c>
      <c r="E7" s="7" t="inlineStr">
        <is>
          <t>Position</t>
        </is>
      </c>
      <c r="F7" s="7" t="inlineStr">
        <is>
          <t>Marker Center (in)</t>
        </is>
      </c>
      <c r="G7" s="7" t="inlineStr">
        <is>
          <t>Notes</t>
        </is>
      </c>
    </row>
    <row r="8" ht="18" customHeight="1">
      <c r="A8" s="8" t="n">
        <v>1</v>
      </c>
      <c r="B8" s="9">
        <f>ROUND($B$3*(1-1/2^(1/12)),3)</f>
        <v/>
      </c>
      <c r="C8" s="9">
        <f>ROUND(B8,3)</f>
        <v/>
      </c>
      <c r="E8" s="10" t="n">
        <v>3</v>
      </c>
      <c r="F8" s="11">
        <f>ROUND((B9+B10)/2,3)</f>
        <v/>
      </c>
      <c r="G8" s="12" t="inlineStr"/>
    </row>
    <row r="9" ht="18" customHeight="1">
      <c r="A9" s="13" t="n">
        <v>2</v>
      </c>
      <c r="B9" s="14">
        <f>ROUND($B$3*(1-1/2^(2/12)),3)</f>
        <v/>
      </c>
      <c r="C9" s="14">
        <f>ROUND(B9-B8,3)</f>
        <v/>
      </c>
      <c r="E9" s="10" t="n">
        <v>5</v>
      </c>
      <c r="F9" s="11">
        <f>ROUND((B11+B12)/2,3)</f>
        <v/>
      </c>
      <c r="G9" s="12" t="inlineStr"/>
    </row>
    <row r="10" ht="18" customHeight="1">
      <c r="A10" s="8" t="n">
        <v>3</v>
      </c>
      <c r="B10" s="9">
        <f>ROUND($B$3*(1-1/2^(3/12)),3)</f>
        <v/>
      </c>
      <c r="C10" s="9">
        <f>ROUND(B10-B9,3)</f>
        <v/>
      </c>
      <c r="E10" s="10" t="n">
        <v>7</v>
      </c>
      <c r="F10" s="11">
        <f>ROUND((B13+B14)/2,3)</f>
        <v/>
      </c>
      <c r="G10" s="12" t="inlineStr"/>
    </row>
    <row r="11" ht="18" customHeight="1">
      <c r="A11" s="13" t="n">
        <v>4</v>
      </c>
      <c r="B11" s="14">
        <f>ROUND($B$3*(1-1/2^(4/12)),3)</f>
        <v/>
      </c>
      <c r="C11" s="14">
        <f>ROUND(B11-B10,3)</f>
        <v/>
      </c>
      <c r="E11" s="10" t="n">
        <v>9</v>
      </c>
      <c r="F11" s="11">
        <f>ROUND((B15+B16)/2,3)</f>
        <v/>
      </c>
      <c r="G11" s="12" t="inlineStr"/>
    </row>
    <row r="12" ht="18" customHeight="1">
      <c r="A12" s="8" t="n">
        <v>5</v>
      </c>
      <c r="B12" s="9">
        <f>ROUND($B$3*(1-1/2^(5/12)),3)</f>
        <v/>
      </c>
      <c r="C12" s="9">
        <f>ROUND(B12-B11,3)</f>
        <v/>
      </c>
      <c r="E12" s="10" t="n">
        <v>12</v>
      </c>
      <c r="F12" s="11">
        <f>ROUND((B18+B19)/2,3)</f>
        <v/>
      </c>
      <c r="G12" s="15" t="inlineStr">
        <is>
          <t>Double dot (octave)</t>
        </is>
      </c>
    </row>
    <row r="13" ht="18" customHeight="1">
      <c r="A13" s="13" t="n">
        <v>6</v>
      </c>
      <c r="B13" s="14">
        <f>ROUND($B$3*(1-1/2^(6/12)),3)</f>
        <v/>
      </c>
      <c r="C13" s="14">
        <f>ROUND(B13-B12,3)</f>
        <v/>
      </c>
      <c r="E13" s="10" t="n">
        <v>15</v>
      </c>
      <c r="F13" s="11">
        <f>ROUND((B21+B22)/2,3)</f>
        <v/>
      </c>
      <c r="G13" s="12" t="inlineStr"/>
    </row>
    <row r="14" ht="18" customHeight="1">
      <c r="A14" s="8" t="n">
        <v>7</v>
      </c>
      <c r="B14" s="9">
        <f>ROUND($B$3*(1-1/2^(7/12)),3)</f>
        <v/>
      </c>
      <c r="C14" s="9">
        <f>ROUND(B14-B13,3)</f>
        <v/>
      </c>
      <c r="E14" s="10" t="n">
        <v>17</v>
      </c>
      <c r="F14" s="11">
        <f>ROUND((B23+B24)/2,3)</f>
        <v/>
      </c>
      <c r="G14" s="12" t="inlineStr"/>
    </row>
    <row r="15" ht="18" customHeight="1">
      <c r="A15" s="13" t="n">
        <v>8</v>
      </c>
      <c r="B15" s="14">
        <f>ROUND($B$3*(1-1/2^(8/12)),3)</f>
        <v/>
      </c>
      <c r="C15" s="14">
        <f>ROUND(B15-B14,3)</f>
        <v/>
      </c>
      <c r="E15" s="10" t="n">
        <v>19</v>
      </c>
      <c r="F15" s="11">
        <f>ROUND((B25+B26)/2,3)</f>
        <v/>
      </c>
      <c r="G15" s="12" t="inlineStr"/>
    </row>
    <row r="16" ht="18" customHeight="1">
      <c r="A16" s="8" t="n">
        <v>9</v>
      </c>
      <c r="B16" s="9">
        <f>ROUND($B$3*(1-1/2^(9/12)),3)</f>
        <v/>
      </c>
      <c r="C16" s="9">
        <f>ROUND(B16-B15,3)</f>
        <v/>
      </c>
      <c r="E16" s="10" t="n">
        <v>21</v>
      </c>
      <c r="F16" s="11">
        <f>ROUND((B27+B28)/2,3)</f>
        <v/>
      </c>
      <c r="G16" s="12" t="inlineStr"/>
    </row>
    <row r="17" ht="18" customHeight="1">
      <c r="A17" s="13" t="n">
        <v>10</v>
      </c>
      <c r="B17" s="14">
        <f>ROUND($B$3*(1-1/2^(10/12)),3)</f>
        <v/>
      </c>
      <c r="C17" s="14">
        <f>ROUND(B17-B16,3)</f>
        <v/>
      </c>
      <c r="E17" s="10" t="n">
        <v>24</v>
      </c>
      <c r="F17" s="11">
        <f>ROUND((B30+B31)/2,3)</f>
        <v/>
      </c>
      <c r="G17" s="15" t="inlineStr">
        <is>
          <t>End of fretboard</t>
        </is>
      </c>
    </row>
    <row r="18" ht="18" customHeight="1">
      <c r="A18" s="8" t="n">
        <v>11</v>
      </c>
      <c r="B18" s="9">
        <f>ROUND($B$3*(1-1/2^(11/12)),3)</f>
        <v/>
      </c>
      <c r="C18" s="9">
        <f>ROUND(B18-B17,3)</f>
        <v/>
      </c>
    </row>
    <row r="19" ht="18" customHeight="1">
      <c r="A19" s="13" t="n">
        <v>12</v>
      </c>
      <c r="B19" s="14">
        <f>ROUND($B$3*(1-1/2^(12/12)),3)</f>
        <v/>
      </c>
      <c r="C19" s="14">
        <f>ROUND(B19-B18,3)</f>
        <v/>
      </c>
    </row>
    <row r="20" ht="18" customHeight="1">
      <c r="A20" s="8" t="n">
        <v>13</v>
      </c>
      <c r="B20" s="9">
        <f>ROUND($B$3*(1-1/2^(13/12)),3)</f>
        <v/>
      </c>
      <c r="C20" s="9">
        <f>ROUND(B20-B19,3)</f>
        <v/>
      </c>
    </row>
    <row r="21" ht="18" customHeight="1">
      <c r="A21" s="13" t="n">
        <v>14</v>
      </c>
      <c r="B21" s="14">
        <f>ROUND($B$3*(1-1/2^(14/12)),3)</f>
        <v/>
      </c>
      <c r="C21" s="14">
        <f>ROUND(B21-B20,3)</f>
        <v/>
      </c>
    </row>
    <row r="22" ht="18" customHeight="1">
      <c r="A22" s="8" t="n">
        <v>15</v>
      </c>
      <c r="B22" s="9">
        <f>ROUND($B$3*(1-1/2^(15/12)),3)</f>
        <v/>
      </c>
      <c r="C22" s="9">
        <f>ROUND(B22-B21,3)</f>
        <v/>
      </c>
    </row>
    <row r="23" ht="18" customHeight="1">
      <c r="A23" s="13" t="n">
        <v>16</v>
      </c>
      <c r="B23" s="14">
        <f>ROUND($B$3*(1-1/2^(16/12)),3)</f>
        <v/>
      </c>
      <c r="C23" s="14">
        <f>ROUND(B23-B22,3)</f>
        <v/>
      </c>
    </row>
    <row r="24" ht="18" customHeight="1">
      <c r="A24" s="8" t="n">
        <v>17</v>
      </c>
      <c r="B24" s="9">
        <f>ROUND($B$3*(1-1/2^(17/12)),3)</f>
        <v/>
      </c>
      <c r="C24" s="9">
        <f>ROUND(B24-B23,3)</f>
        <v/>
      </c>
    </row>
    <row r="25" ht="18" customHeight="1">
      <c r="A25" s="13" t="n">
        <v>18</v>
      </c>
      <c r="B25" s="14">
        <f>ROUND($B$3*(1-1/2^(18/12)),3)</f>
        <v/>
      </c>
      <c r="C25" s="14">
        <f>ROUND(B25-B24,3)</f>
        <v/>
      </c>
    </row>
    <row r="26" ht="18" customHeight="1">
      <c r="A26" s="8" t="n">
        <v>19</v>
      </c>
      <c r="B26" s="9">
        <f>ROUND($B$3*(1-1/2^(19/12)),3)</f>
        <v/>
      </c>
      <c r="C26" s="9">
        <f>ROUND(B26-B25,3)</f>
        <v/>
      </c>
    </row>
    <row r="27" ht="18" customHeight="1">
      <c r="A27" s="13" t="n">
        <v>20</v>
      </c>
      <c r="B27" s="14">
        <f>ROUND($B$3*(1-1/2^(20/12)),3)</f>
        <v/>
      </c>
      <c r="C27" s="14">
        <f>ROUND(B27-B26,3)</f>
        <v/>
      </c>
    </row>
    <row r="28" ht="18" customHeight="1">
      <c r="A28" s="8" t="n">
        <v>21</v>
      </c>
      <c r="B28" s="9">
        <f>ROUND($B$3*(1-1/2^(21/12)),3)</f>
        <v/>
      </c>
      <c r="C28" s="9">
        <f>ROUND(B28-B27,3)</f>
        <v/>
      </c>
    </row>
    <row r="29" ht="18" customHeight="1">
      <c r="A29" s="13" t="n">
        <v>22</v>
      </c>
      <c r="B29" s="14">
        <f>ROUND($B$3*(1-1/2^(22/12)),3)</f>
        <v/>
      </c>
      <c r="C29" s="14">
        <f>ROUND(B29-B28,3)</f>
        <v/>
      </c>
    </row>
    <row r="30" ht="18" customHeight="1">
      <c r="A30" s="8" t="n">
        <v>23</v>
      </c>
      <c r="B30" s="9">
        <f>ROUND($B$3*(1-1/2^(23/12)),3)</f>
        <v/>
      </c>
      <c r="C30" s="9">
        <f>ROUND(B30-B29,3)</f>
        <v/>
      </c>
    </row>
    <row r="31" ht="18" customHeight="1">
      <c r="A31" s="13" t="n">
        <v>24</v>
      </c>
      <c r="B31" s="14">
        <f>ROUND($B$3*(1-1/2^(24/12)),3)</f>
        <v/>
      </c>
      <c r="C31" s="14">
        <f>ROUND(B31-B30,3)</f>
        <v/>
      </c>
    </row>
    <row r="32" ht="18" customHeight="1"/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2026-04-04T23:59:13Z</dcterms:created>
  <dcterms:modified xsi:type="dcterms:W3CDTF">2026-04-04T23:59:13Z</dcterms:modified>
</cp:coreProperties>
</file>